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isneramper.sharepoint.com/teams/Teams_CFOAdvisory/Shared Documents/General/Projects/Active Projects/LACAHSA/04 Deliverables/Phase II/6. ERP Vendor Selection/RFI RFP Package/"/>
    </mc:Choice>
  </mc:AlternateContent>
  <xr:revisionPtr revIDLastSave="0" documentId="8_{1226AD83-FB66-4565-87C7-422CC549D35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CoverSheet" sheetId="8" r:id="rId1"/>
    <sheet name="TCO Summary" sheetId="2" r:id="rId2"/>
    <sheet name="One-Time Costs" sheetId="10" r:id="rId3"/>
    <sheet name="Recurring Costs" sheetId="4" r:id="rId4"/>
    <sheet name="Modules" sheetId="5" r:id="rId5"/>
    <sheet name="Licensing" sheetId="11" r:id="rId6"/>
    <sheet name="Assumptions" sheetId="6" r:id="rId7"/>
    <sheet name="Optional Services" sheetId="12" r:id="rId8"/>
    <sheet name="RICEFs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3" l="1"/>
  <c r="I16" i="13"/>
  <c r="F7" i="12"/>
  <c r="F5" i="12"/>
  <c r="F6" i="12"/>
  <c r="F4" i="12"/>
  <c r="E7" i="12"/>
  <c r="D7" i="12"/>
  <c r="G5" i="11"/>
  <c r="G4" i="11"/>
  <c r="G10" i="5"/>
  <c r="G9" i="5"/>
  <c r="G8" i="5"/>
  <c r="D13" i="4"/>
  <c r="D9" i="10"/>
  <c r="G5" i="5"/>
  <c r="G6" i="5"/>
  <c r="G7" i="5"/>
  <c r="G12" i="5" s="1"/>
  <c r="G11" i="5"/>
  <c r="G4" i="5"/>
  <c r="F12" i="5"/>
  <c r="E12" i="5"/>
  <c r="D10" i="2"/>
  <c r="E10" i="2"/>
  <c r="F10" i="2"/>
  <c r="G10" i="2"/>
  <c r="C10" i="2"/>
  <c r="C12" i="2" s="1"/>
  <c r="G6" i="11" l="1"/>
</calcChain>
</file>

<file path=xl/sharedStrings.xml><?xml version="1.0" encoding="utf-8"?>
<sst xmlns="http://schemas.openxmlformats.org/spreadsheetml/2006/main" count="151" uniqueCount="124">
  <si>
    <t>Cost Category</t>
  </si>
  <si>
    <t>Year 1</t>
  </si>
  <si>
    <t>Year 2</t>
  </si>
  <si>
    <t>Year 3</t>
  </si>
  <si>
    <t>Year 4</t>
  </si>
  <si>
    <t>Year 5</t>
  </si>
  <si>
    <t>Total</t>
  </si>
  <si>
    <t>Component</t>
  </si>
  <si>
    <t>Description</t>
  </si>
  <si>
    <t>Annual Cost</t>
  </si>
  <si>
    <t>Module</t>
  </si>
  <si>
    <t>One-Time Cost</t>
  </si>
  <si>
    <t>Number of Users</t>
  </si>
  <si>
    <t>Transaction Volume</t>
  </si>
  <si>
    <t>Total Cost of Ownership:</t>
  </si>
  <si>
    <t>Other (Please Specify)</t>
  </si>
  <si>
    <t>Recurring Costs:</t>
  </si>
  <si>
    <t>Unit (Per User, Per Module, Flat Fee, etc.)</t>
  </si>
  <si>
    <t>Escalation % (Annual Increase)</t>
  </si>
  <si>
    <t>Notes (Assumptions, Exclusions, etc.)</t>
  </si>
  <si>
    <t>Subscription (Software Licensing / SaaS Fees)</t>
  </si>
  <si>
    <t>Hosting (Cloud Infrastructure / Environment Costs, if not included)</t>
  </si>
  <si>
    <t>Modules:</t>
  </si>
  <si>
    <t>Included (Y/N)</t>
  </si>
  <si>
    <t>Module Type (Base, Optional, Add On)</t>
  </si>
  <si>
    <t>Pricing Assumptions:</t>
  </si>
  <si>
    <t>5 Year-TCO Estimate</t>
  </si>
  <si>
    <t>Support (Ongoing Vendor Support Services)</t>
  </si>
  <si>
    <t>LACAHSA ERP Cost Proposal Template</t>
  </si>
  <si>
    <t>Tab Overview:</t>
  </si>
  <si>
    <t>Tab</t>
  </si>
  <si>
    <t>TCO Summary</t>
  </si>
  <si>
    <t>One Time Costs</t>
  </si>
  <si>
    <t>Recurring Costs</t>
  </si>
  <si>
    <t>Modules</t>
  </si>
  <si>
    <t>Licensing</t>
  </si>
  <si>
    <t>Assumptions</t>
  </si>
  <si>
    <t>Optional Services</t>
  </si>
  <si>
    <t>5-year total cost of ownership overview</t>
  </si>
  <si>
    <t>Vendor-only one time costs (e.g., onboarding, setup)</t>
  </si>
  <si>
    <t>Ongoing annual costs to operate the system</t>
  </si>
  <si>
    <t>Pricing by functional area/module</t>
  </si>
  <si>
    <t>Subscription model and structure</t>
  </si>
  <si>
    <t>Key pricing assumptions and drivers</t>
  </si>
  <si>
    <t>Additional services not included in base scope</t>
  </si>
  <si>
    <t>Hosting (Cloud Infrastructure Costs, if not included in subscription)</t>
  </si>
  <si>
    <t>Training (Vendor Provided Training and Enablement Services)</t>
  </si>
  <si>
    <t>Annual Cost (Year 1 Baseline)</t>
  </si>
  <si>
    <t>Managed Services (Vendor Provided Ongoing Admin)</t>
  </si>
  <si>
    <t>Cost Component</t>
  </si>
  <si>
    <t>Description (What is Included)</t>
  </si>
  <si>
    <t>Total One-Time Cost</t>
  </si>
  <si>
    <t>Notes (Assumption / Scope)</t>
  </si>
  <si>
    <t>Onboarding / Setup (Initial system provisioning &amp; setup)</t>
  </si>
  <si>
    <t>Initial Training (Vendor-led training sessions)</t>
  </si>
  <si>
    <t>Data Load Assistance (Limited vendor support, not full migration)</t>
  </si>
  <si>
    <t>One-Time Costs:</t>
  </si>
  <si>
    <t>Training (Ongoing Training Subscriptions, Learning Platforms, Refreshers)</t>
  </si>
  <si>
    <t>Integration Platform / Middleware (e.g., iPaaS, API Tools)</t>
  </si>
  <si>
    <t>Data Storage (Additional Storage Beyond Included Limits)</t>
  </si>
  <si>
    <t>Transaction-Based Fees (Costs Based on Volume - e.g., invoices)</t>
  </si>
  <si>
    <t>Core Financials (GL, AP, AR, Cash Management, etc.)</t>
  </si>
  <si>
    <t>Budgeting &amp; Planning (Budgets, Forecasting, etc.)</t>
  </si>
  <si>
    <t>Procurement (Requisitioning, Purchase Orders, Vendor Management, etc.</t>
  </si>
  <si>
    <t>Grants Management (Grant Tracking, Compliance, Fund Accounting)</t>
  </si>
  <si>
    <t>Reporting &amp; Analytics (Standard Reporting, Ad Hoc Reporting, Dashboards, Visualization, etc.)</t>
  </si>
  <si>
    <t>Integration &amp; Data (API, Integration Framework)</t>
  </si>
  <si>
    <t>Project Management (Project Accounting, Cost Tracking, etc.)</t>
  </si>
  <si>
    <t>Item (Licensing Element)</t>
  </si>
  <si>
    <t>Pricing Model (Per User / Tiered / Flat)</t>
  </si>
  <si>
    <t>Unit Cost</t>
  </si>
  <si>
    <t>Volume Assumption</t>
  </si>
  <si>
    <t>Total Annual Cost</t>
  </si>
  <si>
    <t>[Insert Licensing Element Here]</t>
  </si>
  <si>
    <t>Data Storage</t>
  </si>
  <si>
    <t># of Integrations</t>
  </si>
  <si>
    <t>Support Level</t>
  </si>
  <si>
    <t>Standard</t>
  </si>
  <si>
    <t>Optional Services:</t>
  </si>
  <si>
    <t>Service</t>
  </si>
  <si>
    <t>Total Year 1</t>
  </si>
  <si>
    <t>[Insert Optional Service]</t>
  </si>
  <si>
    <t>Discounts (If Applicable)</t>
  </si>
  <si>
    <t>Any Vendor Required Implementation</t>
  </si>
  <si>
    <r>
      <t xml:space="preserve">Directions: </t>
    </r>
    <r>
      <rPr>
        <sz val="10"/>
        <color theme="1"/>
        <rFont val="Calibri"/>
        <family val="2"/>
        <scheme val="minor"/>
      </rPr>
      <t xml:space="preserve">Vendors must complete all applicable tabs and provide detailed, accurate, and comprehensive pricing information aligned with the requirements outlined in the RFP.
</t>
    </r>
    <r>
      <rPr>
        <b/>
        <i/>
        <sz val="10"/>
        <color theme="1"/>
        <rFont val="Calibri"/>
        <family val="2"/>
        <scheme val="minor"/>
      </rPr>
      <t>Important Notes:</t>
    </r>
    <r>
      <rPr>
        <sz val="10"/>
        <color theme="1"/>
        <rFont val="Calibri"/>
        <family val="2"/>
        <scheme val="minor"/>
      </rPr>
      <t xml:space="preserve">
- Vendors should include only costs associated with software, licensing, and vendor provided/required services.
- All pricing should be based on the assumptions defined in this template and the RFP.
- Any deviations, exclusions, or assumptions must be clearly documented.</t>
    </r>
  </si>
  <si>
    <t>Subscription Fees 
(Software Licensing / SaaS Fees)</t>
  </si>
  <si>
    <t>One-Time Vendor Costs 
(Non-Recurring Setup / Onboarding)</t>
  </si>
  <si>
    <t>10 full users + 15 limited users</t>
  </si>
  <si>
    <t>~5,000 - 7,500 transactions annually</t>
  </si>
  <si>
    <t>50 - 100 GB with ~5-10% annual growth</t>
  </si>
  <si>
    <t>User Type</t>
  </si>
  <si>
    <t>Full User</t>
  </si>
  <si>
    <t>Limited User</t>
  </si>
  <si>
    <r>
      <t xml:space="preserve">Licensing Costs: </t>
    </r>
    <r>
      <rPr>
        <sz val="11"/>
        <color theme="1"/>
        <rFont val="Calibri"/>
        <family val="2"/>
        <scheme val="minor"/>
      </rPr>
      <t>Vendors must structure licensing costs in accordance with their pricing model (e.g., per user, tiered, or flat). For flat fee pricing, vendors should enter a single line item with a volume assumption of one (1).</t>
    </r>
  </si>
  <si>
    <r>
      <rPr>
        <b/>
        <sz val="11"/>
        <color theme="1"/>
        <rFont val="Calibri"/>
        <family val="2"/>
        <scheme val="minor"/>
      </rPr>
      <t xml:space="preserve">Date: </t>
    </r>
    <r>
      <rPr>
        <sz val="11"/>
        <color theme="1"/>
        <rFont val="Calibri"/>
        <family val="2"/>
        <scheme val="minor"/>
      </rPr>
      <t>04/23/2026</t>
    </r>
  </si>
  <si>
    <t>RICEFs</t>
  </si>
  <si>
    <t>Preliminary custom development estimates for reports, interfaces, conversions, extensions, and forms</t>
  </si>
  <si>
    <r>
      <t xml:space="preserve">RICEF: </t>
    </r>
    <r>
      <rPr>
        <sz val="11"/>
        <color theme="1"/>
        <rFont val="Calibri"/>
        <family val="2"/>
        <scheme val="minor"/>
      </rPr>
      <t>Vendors should identify preliminary RICEFs, estimate effort and cost, indicate whether each item is included in the base proposal, and note key assumptions or dependencies. Use additional rows as needed.</t>
    </r>
  </si>
  <si>
    <t>RICEF ID</t>
  </si>
  <si>
    <t>Category</t>
  </si>
  <si>
    <t>Name / Title</t>
  </si>
  <si>
    <t>Source System / Data Source</t>
  </si>
  <si>
    <t>Target Model</t>
  </si>
  <si>
    <t>Recurring Cost</t>
  </si>
  <si>
    <t>Included in Base Proposal? (Y/N)</t>
  </si>
  <si>
    <t>Assumptions / Notes</t>
  </si>
  <si>
    <t>R-01</t>
  </si>
  <si>
    <t>I-01</t>
  </si>
  <si>
    <t>C-01</t>
  </si>
  <si>
    <t>E-01</t>
  </si>
  <si>
    <t>F-01</t>
  </si>
  <si>
    <t>Report</t>
  </si>
  <si>
    <t>Interface</t>
  </si>
  <si>
    <t>Conversion</t>
  </si>
  <si>
    <t>Extension</t>
  </si>
  <si>
    <t>Form</t>
  </si>
  <si>
    <t>[Insert RICEF Item]</t>
  </si>
  <si>
    <t>[Insert RICEF Description]</t>
  </si>
  <si>
    <t>e.g., Reporting &amp; Analytics</t>
  </si>
  <si>
    <t>e.g., Integration &amp; Data</t>
  </si>
  <si>
    <t>e.g., Data Migration</t>
  </si>
  <si>
    <t>e.g., Core Financials</t>
  </si>
  <si>
    <t>e.g., Procurement</t>
  </si>
  <si>
    <t>Complexity (High/Medium/Low)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</si>
</sst>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4" fillId="0" borderId="0" xfId="3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7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9" fontId="0" fillId="0" borderId="1" xfId="2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4" fontId="3" fillId="0" borderId="0" xfId="0" applyNumberFormat="1" applyFont="1" applyAlignment="1">
      <alignment vertical="center"/>
    </xf>
    <xf numFmtId="44" fontId="0" fillId="0" borderId="1" xfId="1" applyFont="1" applyBorder="1" applyAlignment="1">
      <alignment horizontal="left" vertical="center"/>
    </xf>
    <xf numFmtId="44" fontId="3" fillId="0" borderId="1" xfId="1" applyFont="1" applyBorder="1" applyAlignment="1">
      <alignment horizontal="left" vertical="center"/>
    </xf>
    <xf numFmtId="44" fontId="3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 wrapText="1"/>
    </xf>
    <xf numFmtId="44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4" fontId="3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/>
    <xf numFmtId="44" fontId="0" fillId="0" borderId="1" xfId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84407</xdr:rowOff>
    </xdr:from>
    <xdr:to>
      <xdr:col>1</xdr:col>
      <xdr:colOff>1497965</xdr:colOff>
      <xdr:row>3</xdr:row>
      <xdr:rowOff>124590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F4188-6B88-4C24-B9EE-15725EE19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6312"/>
          <a:ext cx="1503045" cy="5999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AD7C-4C30-4A30-A960-1D5733A0EE03}">
  <sheetPr>
    <pageSetUpPr autoPageBreaks="0"/>
  </sheetPr>
  <dimension ref="A1:H19"/>
  <sheetViews>
    <sheetView showGridLines="0" tabSelected="1" zoomScale="120" zoomScaleNormal="120" workbookViewId="0">
      <selection activeCell="C17" sqref="C17"/>
    </sheetView>
  </sheetViews>
  <sheetFormatPr defaultRowHeight="14.5" x14ac:dyDescent="0.35"/>
  <cols>
    <col min="1" max="1" width="3.90625" customWidth="1"/>
    <col min="2" max="2" width="24.1796875" customWidth="1"/>
    <col min="3" max="3" width="52.08984375" customWidth="1"/>
    <col min="4" max="4" width="15.54296875" customWidth="1"/>
    <col min="8" max="8" width="11" bestFit="1" customWidth="1"/>
  </cols>
  <sheetData>
    <row r="1" spans="1:8" x14ac:dyDescent="0.35">
      <c r="A1" s="1"/>
      <c r="H1" s="1"/>
    </row>
    <row r="2" spans="1:8" x14ac:dyDescent="0.35">
      <c r="H2" s="11"/>
    </row>
    <row r="5" spans="1:8" x14ac:dyDescent="0.35">
      <c r="B5" s="18" t="s">
        <v>28</v>
      </c>
    </row>
    <row r="6" spans="1:8" ht="125.4" customHeight="1" x14ac:dyDescent="0.35">
      <c r="B6" s="35" t="s">
        <v>84</v>
      </c>
      <c r="C6" s="35"/>
    </row>
    <row r="8" spans="1:8" x14ac:dyDescent="0.35">
      <c r="B8" s="1" t="s">
        <v>29</v>
      </c>
    </row>
    <row r="9" spans="1:8" x14ac:dyDescent="0.35">
      <c r="B9" s="15" t="s">
        <v>30</v>
      </c>
      <c r="C9" s="6" t="s">
        <v>8</v>
      </c>
    </row>
    <row r="10" spans="1:8" x14ac:dyDescent="0.35">
      <c r="B10" s="16" t="s">
        <v>31</v>
      </c>
      <c r="C10" s="17" t="s">
        <v>38</v>
      </c>
    </row>
    <row r="11" spans="1:8" x14ac:dyDescent="0.35">
      <c r="B11" s="16" t="s">
        <v>32</v>
      </c>
      <c r="C11" s="17" t="s">
        <v>39</v>
      </c>
    </row>
    <row r="12" spans="1:8" x14ac:dyDescent="0.35">
      <c r="B12" s="16" t="s">
        <v>33</v>
      </c>
      <c r="C12" s="17" t="s">
        <v>40</v>
      </c>
    </row>
    <row r="13" spans="1:8" x14ac:dyDescent="0.35">
      <c r="B13" s="16" t="s">
        <v>34</v>
      </c>
      <c r="C13" s="17" t="s">
        <v>41</v>
      </c>
    </row>
    <row r="14" spans="1:8" x14ac:dyDescent="0.35">
      <c r="B14" s="16" t="s">
        <v>35</v>
      </c>
      <c r="C14" s="17" t="s">
        <v>42</v>
      </c>
    </row>
    <row r="15" spans="1:8" x14ac:dyDescent="0.35">
      <c r="B15" s="16" t="s">
        <v>36</v>
      </c>
      <c r="C15" s="17" t="s">
        <v>43</v>
      </c>
    </row>
    <row r="16" spans="1:8" x14ac:dyDescent="0.35">
      <c r="B16" s="36" t="s">
        <v>37</v>
      </c>
      <c r="C16" s="37" t="s">
        <v>44</v>
      </c>
    </row>
    <row r="17" spans="2:3" ht="29" x14ac:dyDescent="0.35">
      <c r="B17" s="16" t="s">
        <v>95</v>
      </c>
      <c r="C17" s="16" t="s">
        <v>96</v>
      </c>
    </row>
    <row r="19" spans="2:3" x14ac:dyDescent="0.35">
      <c r="B19" t="s">
        <v>94</v>
      </c>
    </row>
  </sheetData>
  <mergeCells count="1">
    <mergeCell ref="B6:C6"/>
  </mergeCells>
  <pageMargins left="0.7" right="0.7" top="0.75" bottom="0.75" header="0.3" footer="0.3"/>
  <customProperties>
    <customPr name="OrphanNamesChecke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2"/>
  <sheetViews>
    <sheetView showGridLines="0" zoomScale="120" zoomScaleNormal="120" workbookViewId="0">
      <selection activeCell="C14" sqref="C14"/>
    </sheetView>
  </sheetViews>
  <sheetFormatPr defaultRowHeight="14.5" x14ac:dyDescent="0.35"/>
  <cols>
    <col min="1" max="1" width="3" customWidth="1"/>
    <col min="2" max="2" width="31.453125" style="4" customWidth="1"/>
    <col min="3" max="7" width="13.54296875" customWidth="1"/>
  </cols>
  <sheetData>
    <row r="1" spans="2:7" x14ac:dyDescent="0.35">
      <c r="B1" s="5" t="s">
        <v>14</v>
      </c>
    </row>
    <row r="3" spans="2:7" x14ac:dyDescent="0.35">
      <c r="B3" s="14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</row>
    <row r="4" spans="2:7" ht="29" x14ac:dyDescent="0.35">
      <c r="B4" s="8" t="s">
        <v>86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2:7" ht="29" x14ac:dyDescent="0.35">
      <c r="B5" s="8" t="s">
        <v>85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2:7" ht="29" x14ac:dyDescent="0.35">
      <c r="B6" s="8" t="s">
        <v>27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2:7" ht="29" x14ac:dyDescent="0.35">
      <c r="B7" s="8" t="s">
        <v>45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2:7" ht="29" x14ac:dyDescent="0.35">
      <c r="B8" s="8" t="s">
        <v>46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2:7" x14ac:dyDescent="0.35">
      <c r="B9" s="8" t="s">
        <v>15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</row>
    <row r="10" spans="2:7" x14ac:dyDescent="0.35">
      <c r="B10" s="19" t="s">
        <v>6</v>
      </c>
      <c r="C10" s="27">
        <f>SUM(C4:C9)</f>
        <v>0</v>
      </c>
      <c r="D10" s="27">
        <f>SUM(D4:D9)</f>
        <v>0</v>
      </c>
      <c r="E10" s="27">
        <f>SUM(E4:E9)</f>
        <v>0</v>
      </c>
      <c r="F10" s="27">
        <f>SUM(F4:F9)</f>
        <v>0</v>
      </c>
      <c r="G10" s="27">
        <f>SUM(G4:G9)</f>
        <v>0</v>
      </c>
    </row>
    <row r="12" spans="2:7" x14ac:dyDescent="0.35">
      <c r="B12" s="20" t="s">
        <v>26</v>
      </c>
      <c r="C12" s="24">
        <f>SUM(C10:G10)</f>
        <v>0</v>
      </c>
    </row>
  </sheetData>
  <pageMargins left="0.75" right="0.75" top="1" bottom="1" header="0.5" footer="0.5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E8FC-F507-40D4-9D35-652DB61E5782}">
  <dimension ref="B1:E9"/>
  <sheetViews>
    <sheetView showGridLines="0" zoomScale="120" zoomScaleNormal="120" workbookViewId="0">
      <selection activeCell="B43" sqref="B43"/>
    </sheetView>
  </sheetViews>
  <sheetFormatPr defaultRowHeight="14.5" x14ac:dyDescent="0.35"/>
  <cols>
    <col min="1" max="1" width="3.36328125" customWidth="1"/>
    <col min="2" max="2" width="32.453125" customWidth="1"/>
    <col min="3" max="3" width="51.6328125" customWidth="1"/>
    <col min="4" max="4" width="14.453125" customWidth="1"/>
    <col min="5" max="5" width="56.90625" customWidth="1"/>
  </cols>
  <sheetData>
    <row r="1" spans="2:5" x14ac:dyDescent="0.35">
      <c r="B1" s="1" t="s">
        <v>56</v>
      </c>
    </row>
    <row r="3" spans="2:5" ht="29" x14ac:dyDescent="0.35">
      <c r="B3" s="22" t="s">
        <v>49</v>
      </c>
      <c r="C3" s="22" t="s">
        <v>50</v>
      </c>
      <c r="D3" s="12" t="s">
        <v>51</v>
      </c>
      <c r="E3" s="22" t="s">
        <v>52</v>
      </c>
    </row>
    <row r="4" spans="2:5" ht="29" x14ac:dyDescent="0.35">
      <c r="B4" s="16" t="s">
        <v>53</v>
      </c>
      <c r="C4" s="16"/>
      <c r="D4" s="28">
        <v>0</v>
      </c>
      <c r="E4" s="16"/>
    </row>
    <row r="5" spans="2:5" ht="29" x14ac:dyDescent="0.35">
      <c r="B5" s="16" t="s">
        <v>54</v>
      </c>
      <c r="C5" s="16"/>
      <c r="D5" s="28">
        <v>0</v>
      </c>
      <c r="E5" s="16"/>
    </row>
    <row r="6" spans="2:5" ht="29" x14ac:dyDescent="0.35">
      <c r="B6" s="16" t="s">
        <v>55</v>
      </c>
      <c r="C6" s="16"/>
      <c r="D6" s="28">
        <v>0</v>
      </c>
      <c r="E6" s="16"/>
    </row>
    <row r="7" spans="2:5" ht="29" x14ac:dyDescent="0.35">
      <c r="B7" s="16" t="s">
        <v>83</v>
      </c>
      <c r="C7" s="16"/>
      <c r="D7" s="28">
        <v>0</v>
      </c>
      <c r="E7" s="16"/>
    </row>
    <row r="8" spans="2:5" x14ac:dyDescent="0.35">
      <c r="B8" s="16" t="s">
        <v>15</v>
      </c>
      <c r="C8" s="16"/>
      <c r="D8" s="28">
        <v>0</v>
      </c>
      <c r="E8" s="16"/>
    </row>
    <row r="9" spans="2:5" x14ac:dyDescent="0.35">
      <c r="B9" s="23" t="s">
        <v>6</v>
      </c>
      <c r="C9" s="16"/>
      <c r="D9" s="29">
        <f>SUM(D4:D8)</f>
        <v>0</v>
      </c>
      <c r="E9" s="16"/>
    </row>
  </sheetData>
  <pageMargins left="0.7" right="0.7" top="0.75" bottom="0.75" header="0.3" footer="0.3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zoomScale="120" zoomScaleNormal="120" workbookViewId="0">
      <selection activeCell="C4" sqref="C4"/>
    </sheetView>
  </sheetViews>
  <sheetFormatPr defaultRowHeight="14.5" x14ac:dyDescent="0.35"/>
  <cols>
    <col min="1" max="1" width="2.54296875" customWidth="1"/>
    <col min="2" max="2" width="59.90625" bestFit="1" customWidth="1"/>
    <col min="3" max="3" width="21.1796875" customWidth="1"/>
    <col min="4" max="4" width="14.81640625" customWidth="1"/>
    <col min="5" max="5" width="16.453125" customWidth="1"/>
    <col min="6" max="6" width="55.90625" customWidth="1"/>
  </cols>
  <sheetData>
    <row r="1" spans="2:6" x14ac:dyDescent="0.35">
      <c r="B1" s="1" t="s">
        <v>16</v>
      </c>
    </row>
    <row r="3" spans="2:6" ht="29" x14ac:dyDescent="0.35">
      <c r="B3" s="7" t="s">
        <v>7</v>
      </c>
      <c r="C3" s="12" t="s">
        <v>17</v>
      </c>
      <c r="D3" s="12" t="s">
        <v>47</v>
      </c>
      <c r="E3" s="12" t="s">
        <v>18</v>
      </c>
      <c r="F3" s="13" t="s">
        <v>19</v>
      </c>
    </row>
    <row r="4" spans="2:6" ht="28.25" customHeight="1" x14ac:dyDescent="0.35">
      <c r="B4" s="16" t="s">
        <v>20</v>
      </c>
      <c r="C4" s="9"/>
      <c r="D4" s="25">
        <v>0</v>
      </c>
      <c r="E4" s="21"/>
      <c r="F4" s="16"/>
    </row>
    <row r="5" spans="2:6" ht="28.25" customHeight="1" x14ac:dyDescent="0.35">
      <c r="B5" s="16" t="s">
        <v>27</v>
      </c>
      <c r="C5" s="9"/>
      <c r="D5" s="25">
        <v>0</v>
      </c>
      <c r="E5" s="21"/>
      <c r="F5" s="16"/>
    </row>
    <row r="6" spans="2:6" ht="28.25" customHeight="1" x14ac:dyDescent="0.35">
      <c r="B6" s="16" t="s">
        <v>21</v>
      </c>
      <c r="C6" s="9"/>
      <c r="D6" s="25">
        <v>0</v>
      </c>
      <c r="E6" s="21"/>
      <c r="F6" s="16"/>
    </row>
    <row r="7" spans="2:6" ht="28.25" customHeight="1" x14ac:dyDescent="0.35">
      <c r="B7" s="16" t="s">
        <v>48</v>
      </c>
      <c r="C7" s="9"/>
      <c r="D7" s="25">
        <v>0</v>
      </c>
      <c r="E7" s="21"/>
      <c r="F7" s="16"/>
    </row>
    <row r="8" spans="2:6" ht="28.25" customHeight="1" x14ac:dyDescent="0.35">
      <c r="B8" s="16" t="s">
        <v>57</v>
      </c>
      <c r="C8" s="9"/>
      <c r="D8" s="25">
        <v>0</v>
      </c>
      <c r="E8" s="21"/>
      <c r="F8" s="16"/>
    </row>
    <row r="9" spans="2:6" ht="28.25" customHeight="1" x14ac:dyDescent="0.35">
      <c r="B9" s="16" t="s">
        <v>58</v>
      </c>
      <c r="C9" s="9"/>
      <c r="D9" s="25">
        <v>0</v>
      </c>
      <c r="E9" s="21"/>
      <c r="F9" s="16"/>
    </row>
    <row r="10" spans="2:6" ht="28.25" customHeight="1" x14ac:dyDescent="0.35">
      <c r="B10" s="16" t="s">
        <v>59</v>
      </c>
      <c r="C10" s="9"/>
      <c r="D10" s="25">
        <v>0</v>
      </c>
      <c r="E10" s="21"/>
      <c r="F10" s="16"/>
    </row>
    <row r="11" spans="2:6" ht="28.25" customHeight="1" x14ac:dyDescent="0.35">
      <c r="B11" s="16" t="s">
        <v>60</v>
      </c>
      <c r="C11" s="9"/>
      <c r="D11" s="25">
        <v>0</v>
      </c>
      <c r="E11" s="21"/>
      <c r="F11" s="16"/>
    </row>
    <row r="12" spans="2:6" ht="28.25" customHeight="1" x14ac:dyDescent="0.35">
      <c r="B12" s="16" t="s">
        <v>15</v>
      </c>
      <c r="C12" s="9"/>
      <c r="D12" s="25">
        <v>0</v>
      </c>
      <c r="E12" s="21"/>
      <c r="F12" s="16"/>
    </row>
    <row r="13" spans="2:6" x14ac:dyDescent="0.35">
      <c r="B13" s="23" t="s">
        <v>6</v>
      </c>
      <c r="C13" s="9"/>
      <c r="D13" s="26">
        <f>SUM(D4:D12)</f>
        <v>0</v>
      </c>
      <c r="E13" s="9"/>
      <c r="F13" s="17"/>
    </row>
  </sheetData>
  <pageMargins left="0.75" right="0.75" top="1" bottom="1" header="0.5" footer="0.5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2"/>
  <sheetViews>
    <sheetView showGridLines="0" zoomScale="120" zoomScaleNormal="120" workbookViewId="0">
      <selection activeCell="G12" sqref="G12"/>
    </sheetView>
  </sheetViews>
  <sheetFormatPr defaultRowHeight="14.5" x14ac:dyDescent="0.35"/>
  <cols>
    <col min="1" max="1" width="2.81640625" customWidth="1"/>
    <col min="2" max="2" width="31.54296875" style="4" customWidth="1"/>
    <col min="3" max="3" width="13.453125" bestFit="1" customWidth="1"/>
    <col min="4" max="4" width="20.1796875" customWidth="1"/>
    <col min="5" max="5" width="15" customWidth="1"/>
    <col min="6" max="6" width="12.81640625" customWidth="1"/>
    <col min="7" max="7" width="13.1796875" customWidth="1"/>
  </cols>
  <sheetData>
    <row r="1" spans="2:7" x14ac:dyDescent="0.35">
      <c r="B1" s="5" t="s">
        <v>22</v>
      </c>
    </row>
    <row r="3" spans="2:7" ht="29" x14ac:dyDescent="0.35">
      <c r="B3" s="14" t="s">
        <v>10</v>
      </c>
      <c r="C3" s="13" t="s">
        <v>23</v>
      </c>
      <c r="D3" s="12" t="s">
        <v>24</v>
      </c>
      <c r="E3" s="13" t="s">
        <v>11</v>
      </c>
      <c r="F3" s="13" t="s">
        <v>9</v>
      </c>
      <c r="G3" s="31" t="s">
        <v>80</v>
      </c>
    </row>
    <row r="4" spans="2:7" ht="29" x14ac:dyDescent="0.35">
      <c r="B4" s="8" t="s">
        <v>61</v>
      </c>
      <c r="C4" s="9"/>
      <c r="D4" s="9"/>
      <c r="E4" s="10">
        <v>0</v>
      </c>
      <c r="F4" s="10">
        <v>0</v>
      </c>
      <c r="G4" s="10">
        <f>E4+F4</f>
        <v>0</v>
      </c>
    </row>
    <row r="5" spans="2:7" ht="29" x14ac:dyDescent="0.35">
      <c r="B5" s="8" t="s">
        <v>62</v>
      </c>
      <c r="C5" s="9"/>
      <c r="D5" s="9"/>
      <c r="E5" s="10">
        <v>0</v>
      </c>
      <c r="F5" s="10">
        <v>0</v>
      </c>
      <c r="G5" s="10">
        <f t="shared" ref="G5:G11" si="0">E5+F5</f>
        <v>0</v>
      </c>
    </row>
    <row r="6" spans="2:7" ht="43.5" x14ac:dyDescent="0.35">
      <c r="B6" s="8" t="s">
        <v>63</v>
      </c>
      <c r="C6" s="9"/>
      <c r="D6" s="9"/>
      <c r="E6" s="10">
        <v>0</v>
      </c>
      <c r="F6" s="10">
        <v>0</v>
      </c>
      <c r="G6" s="10">
        <f t="shared" si="0"/>
        <v>0</v>
      </c>
    </row>
    <row r="7" spans="2:7" ht="43.5" x14ac:dyDescent="0.35">
      <c r="B7" s="8" t="s">
        <v>65</v>
      </c>
      <c r="C7" s="9"/>
      <c r="D7" s="9"/>
      <c r="E7" s="10">
        <v>0</v>
      </c>
      <c r="F7" s="10">
        <v>0</v>
      </c>
      <c r="G7" s="10">
        <f t="shared" si="0"/>
        <v>0</v>
      </c>
    </row>
    <row r="8" spans="2:7" ht="43.5" x14ac:dyDescent="0.35">
      <c r="B8" s="8" t="s">
        <v>64</v>
      </c>
      <c r="C8" s="9"/>
      <c r="D8" s="9"/>
      <c r="E8" s="10">
        <v>0</v>
      </c>
      <c r="F8" s="10">
        <v>0</v>
      </c>
      <c r="G8" s="10">
        <f t="shared" si="0"/>
        <v>0</v>
      </c>
    </row>
    <row r="9" spans="2:7" ht="29" x14ac:dyDescent="0.35">
      <c r="B9" s="8" t="s">
        <v>66</v>
      </c>
      <c r="C9" s="9"/>
      <c r="D9" s="9"/>
      <c r="E9" s="10">
        <v>0</v>
      </c>
      <c r="F9" s="10">
        <v>0</v>
      </c>
      <c r="G9" s="10">
        <f t="shared" si="0"/>
        <v>0</v>
      </c>
    </row>
    <row r="10" spans="2:7" ht="29" x14ac:dyDescent="0.35">
      <c r="B10" s="8" t="s">
        <v>67</v>
      </c>
      <c r="C10" s="9"/>
      <c r="D10" s="9"/>
      <c r="E10" s="10">
        <v>0</v>
      </c>
      <c r="F10" s="10">
        <v>0</v>
      </c>
      <c r="G10" s="10">
        <f t="shared" si="0"/>
        <v>0</v>
      </c>
    </row>
    <row r="11" spans="2:7" x14ac:dyDescent="0.35">
      <c r="B11" s="8" t="s">
        <v>15</v>
      </c>
      <c r="C11" s="9"/>
      <c r="D11" s="9"/>
      <c r="E11" s="10">
        <v>0</v>
      </c>
      <c r="F11" s="10">
        <v>0</v>
      </c>
      <c r="G11" s="10">
        <f t="shared" si="0"/>
        <v>0</v>
      </c>
    </row>
    <row r="12" spans="2:7" x14ac:dyDescent="0.35">
      <c r="B12" s="19" t="s">
        <v>6</v>
      </c>
      <c r="C12" s="30"/>
      <c r="D12" s="30"/>
      <c r="E12" s="32">
        <f>SUM(E4:E11)</f>
        <v>0</v>
      </c>
      <c r="F12" s="32">
        <f>SUM(F4:F11)</f>
        <v>0</v>
      </c>
      <c r="G12" s="32">
        <f>SUM(G4:G11)</f>
        <v>0</v>
      </c>
    </row>
  </sheetData>
  <pageMargins left="0.75" right="0.75" top="1" bottom="1" header="0.5" footer="0.5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0391-88CB-4A48-A078-E9AF62C8E26C}">
  <dimension ref="B1:G6"/>
  <sheetViews>
    <sheetView showGridLines="0" zoomScale="120" zoomScaleNormal="120" workbookViewId="0">
      <selection activeCell="B2" sqref="B2"/>
    </sheetView>
  </sheetViews>
  <sheetFormatPr defaultRowHeight="14.5" x14ac:dyDescent="0.35"/>
  <cols>
    <col min="1" max="1" width="3" customWidth="1"/>
    <col min="2" max="2" width="26.90625" bestFit="1" customWidth="1"/>
    <col min="3" max="4" width="21.36328125" customWidth="1"/>
    <col min="5" max="5" width="13.453125" customWidth="1"/>
    <col min="6" max="6" width="17.6328125" bestFit="1" customWidth="1"/>
    <col min="7" max="7" width="15.453125" bestFit="1" customWidth="1"/>
  </cols>
  <sheetData>
    <row r="1" spans="2:7" x14ac:dyDescent="0.35">
      <c r="B1" s="1" t="s">
        <v>93</v>
      </c>
    </row>
    <row r="3" spans="2:7" ht="29" x14ac:dyDescent="0.35">
      <c r="B3" s="14" t="s">
        <v>68</v>
      </c>
      <c r="C3" s="12" t="s">
        <v>69</v>
      </c>
      <c r="D3" s="12" t="s">
        <v>90</v>
      </c>
      <c r="E3" s="12" t="s">
        <v>70</v>
      </c>
      <c r="F3" s="12" t="s">
        <v>71</v>
      </c>
      <c r="G3" s="12" t="s">
        <v>72</v>
      </c>
    </row>
    <row r="4" spans="2:7" x14ac:dyDescent="0.35">
      <c r="B4" s="2" t="s">
        <v>73</v>
      </c>
      <c r="C4" s="30"/>
      <c r="D4" s="30" t="s">
        <v>91</v>
      </c>
      <c r="E4" s="33">
        <v>0</v>
      </c>
      <c r="F4" s="30">
        <v>10</v>
      </c>
      <c r="G4" s="33">
        <f>E4*F4</f>
        <v>0</v>
      </c>
    </row>
    <row r="5" spans="2:7" x14ac:dyDescent="0.35">
      <c r="B5" s="2" t="s">
        <v>73</v>
      </c>
      <c r="C5" s="30"/>
      <c r="D5" s="30" t="s">
        <v>92</v>
      </c>
      <c r="E5" s="33">
        <v>0</v>
      </c>
      <c r="F5" s="30">
        <v>15</v>
      </c>
      <c r="G5" s="33">
        <f t="shared" ref="G5" si="0">E5*F5</f>
        <v>0</v>
      </c>
    </row>
    <row r="6" spans="2:7" x14ac:dyDescent="0.35">
      <c r="B6" s="3" t="s">
        <v>6</v>
      </c>
      <c r="C6" s="30"/>
      <c r="D6" s="30"/>
      <c r="E6" s="2"/>
      <c r="F6" s="2"/>
      <c r="G6" s="32">
        <f>SUM(G4:G5)</f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8"/>
  <sheetViews>
    <sheetView showGridLines="0" zoomScale="120" zoomScaleNormal="120" workbookViewId="0">
      <selection activeCell="C8" sqref="C8"/>
    </sheetView>
  </sheetViews>
  <sheetFormatPr defaultRowHeight="14.5" x14ac:dyDescent="0.35"/>
  <cols>
    <col min="1" max="1" width="3" customWidth="1"/>
    <col min="2" max="2" width="21.6328125" customWidth="1"/>
    <col min="3" max="3" width="35.81640625" customWidth="1"/>
  </cols>
  <sheetData>
    <row r="1" spans="2:3" x14ac:dyDescent="0.35">
      <c r="B1" s="1" t="s">
        <v>25</v>
      </c>
    </row>
    <row r="3" spans="2:3" x14ac:dyDescent="0.35">
      <c r="B3" s="14" t="s">
        <v>12</v>
      </c>
      <c r="C3" s="34" t="s">
        <v>87</v>
      </c>
    </row>
    <row r="4" spans="2:3" x14ac:dyDescent="0.35">
      <c r="B4" s="14" t="s">
        <v>13</v>
      </c>
      <c r="C4" s="34" t="s">
        <v>88</v>
      </c>
    </row>
    <row r="5" spans="2:3" x14ac:dyDescent="0.35">
      <c r="B5" s="14" t="s">
        <v>74</v>
      </c>
      <c r="C5" s="34" t="s">
        <v>89</v>
      </c>
    </row>
    <row r="6" spans="2:3" x14ac:dyDescent="0.35">
      <c r="B6" s="14" t="s">
        <v>75</v>
      </c>
      <c r="C6" s="34">
        <v>5</v>
      </c>
    </row>
    <row r="7" spans="2:3" x14ac:dyDescent="0.35">
      <c r="B7" s="14" t="s">
        <v>76</v>
      </c>
      <c r="C7" s="34" t="s">
        <v>77</v>
      </c>
    </row>
    <row r="8" spans="2:3" x14ac:dyDescent="0.35">
      <c r="B8" s="14" t="s">
        <v>82</v>
      </c>
      <c r="C8" s="34"/>
    </row>
  </sheetData>
  <pageMargins left="0.75" right="0.75" top="1" bottom="1" header="0.5" footer="0.5"/>
  <customProperties>
    <customPr name="OrphanNamesChecke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FB8C-D8D6-433B-8D4E-78CE633C1B95}">
  <dimension ref="B1:F7"/>
  <sheetViews>
    <sheetView showGridLines="0" zoomScale="120" zoomScaleNormal="120" workbookViewId="0">
      <selection activeCell="B9" sqref="B9"/>
    </sheetView>
  </sheetViews>
  <sheetFormatPr defaultRowHeight="14.5" x14ac:dyDescent="0.35"/>
  <cols>
    <col min="1" max="1" width="2.90625" customWidth="1"/>
    <col min="2" max="2" width="23.6328125" style="4" customWidth="1"/>
    <col min="3" max="3" width="43.81640625" style="4" customWidth="1"/>
    <col min="4" max="4" width="15.36328125" customWidth="1"/>
    <col min="5" max="5" width="14.453125" customWidth="1"/>
    <col min="6" max="6" width="13.453125" customWidth="1"/>
  </cols>
  <sheetData>
    <row r="1" spans="2:6" x14ac:dyDescent="0.35">
      <c r="B1" s="5" t="s">
        <v>78</v>
      </c>
    </row>
    <row r="3" spans="2:6" x14ac:dyDescent="0.35">
      <c r="B3" s="22" t="s">
        <v>79</v>
      </c>
      <c r="C3" s="22" t="s">
        <v>8</v>
      </c>
      <c r="D3" s="13" t="s">
        <v>11</v>
      </c>
      <c r="E3" s="13" t="s">
        <v>9</v>
      </c>
      <c r="F3" s="13" t="s">
        <v>80</v>
      </c>
    </row>
    <row r="4" spans="2:6" x14ac:dyDescent="0.35">
      <c r="B4" s="16" t="s">
        <v>81</v>
      </c>
      <c r="C4" s="16"/>
      <c r="D4" s="10">
        <v>0</v>
      </c>
      <c r="E4" s="10">
        <v>0</v>
      </c>
      <c r="F4" s="10">
        <f>D4+E4</f>
        <v>0</v>
      </c>
    </row>
    <row r="5" spans="2:6" x14ac:dyDescent="0.35">
      <c r="B5" s="16" t="s">
        <v>81</v>
      </c>
      <c r="C5" s="16"/>
      <c r="D5" s="10">
        <v>0</v>
      </c>
      <c r="E5" s="10">
        <v>0</v>
      </c>
      <c r="F5" s="10">
        <f t="shared" ref="F5:F6" si="0">D5+E5</f>
        <v>0</v>
      </c>
    </row>
    <row r="6" spans="2:6" x14ac:dyDescent="0.35">
      <c r="B6" s="16" t="s">
        <v>81</v>
      </c>
      <c r="C6" s="16"/>
      <c r="D6" s="10">
        <v>0</v>
      </c>
      <c r="E6" s="10">
        <v>0</v>
      </c>
      <c r="F6" s="10">
        <f t="shared" si="0"/>
        <v>0</v>
      </c>
    </row>
    <row r="7" spans="2:6" x14ac:dyDescent="0.35">
      <c r="B7" s="23" t="s">
        <v>6</v>
      </c>
      <c r="C7" s="16"/>
      <c r="D7" s="27">
        <f>SUM(D4:D6)</f>
        <v>0</v>
      </c>
      <c r="E7" s="27">
        <f>SUM(E4:E6)</f>
        <v>0</v>
      </c>
      <c r="F7" s="27">
        <f>SUM(F4:F6)</f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C2F2-B826-4D02-8919-0D23240B2EDE}">
  <dimension ref="B1:L17"/>
  <sheetViews>
    <sheetView showGridLines="0" zoomScale="120" zoomScaleNormal="120" workbookViewId="0">
      <selection activeCell="C46" sqref="C46"/>
    </sheetView>
  </sheetViews>
  <sheetFormatPr defaultRowHeight="14.5" x14ac:dyDescent="0.35"/>
  <cols>
    <col min="1" max="1" width="2.90625" customWidth="1"/>
    <col min="2" max="2" width="10.1796875" style="4" customWidth="1"/>
    <col min="3" max="3" width="13.1796875" style="4" customWidth="1"/>
    <col min="4" max="4" width="19.08984375" customWidth="1"/>
    <col min="5" max="5" width="49.36328125" customWidth="1"/>
    <col min="6" max="6" width="21.08984375" customWidth="1"/>
    <col min="7" max="7" width="24.26953125" bestFit="1" customWidth="1"/>
    <col min="8" max="8" width="19.08984375" bestFit="1" customWidth="1"/>
    <col min="9" max="9" width="14.36328125" customWidth="1"/>
    <col min="10" max="10" width="14.1796875" customWidth="1"/>
    <col min="11" max="11" width="16.90625" customWidth="1"/>
    <col min="12" max="12" width="43.1796875" customWidth="1"/>
  </cols>
  <sheetData>
    <row r="1" spans="2:12" x14ac:dyDescent="0.35">
      <c r="B1" s="38" t="s">
        <v>97</v>
      </c>
    </row>
    <row r="2" spans="2:12" ht="14.4" x14ac:dyDescent="0.35"/>
    <row r="3" spans="2:12" ht="38" customHeight="1" x14ac:dyDescent="0.35">
      <c r="B3" s="12" t="s">
        <v>98</v>
      </c>
      <c r="C3" s="12" t="s">
        <v>99</v>
      </c>
      <c r="D3" s="13" t="s">
        <v>100</v>
      </c>
      <c r="E3" s="13" t="s">
        <v>8</v>
      </c>
      <c r="F3" s="12" t="s">
        <v>101</v>
      </c>
      <c r="G3" s="13" t="s">
        <v>102</v>
      </c>
      <c r="H3" s="12" t="s">
        <v>123</v>
      </c>
      <c r="I3" s="13" t="s">
        <v>11</v>
      </c>
      <c r="J3" s="13" t="s">
        <v>103</v>
      </c>
      <c r="K3" s="12" t="s">
        <v>104</v>
      </c>
      <c r="L3" s="13" t="s">
        <v>105</v>
      </c>
    </row>
    <row r="4" spans="2:12" x14ac:dyDescent="0.35">
      <c r="B4" s="41" t="s">
        <v>106</v>
      </c>
      <c r="C4" s="41" t="s">
        <v>111</v>
      </c>
      <c r="D4" s="28" t="s">
        <v>116</v>
      </c>
      <c r="E4" s="39" t="s">
        <v>117</v>
      </c>
      <c r="F4" s="28"/>
      <c r="G4" s="39" t="s">
        <v>118</v>
      </c>
      <c r="H4" s="41"/>
      <c r="I4" s="28">
        <v>0</v>
      </c>
      <c r="J4" s="28">
        <v>0</v>
      </c>
      <c r="K4" s="40"/>
      <c r="L4" s="40"/>
    </row>
    <row r="5" spans="2:12" x14ac:dyDescent="0.35">
      <c r="B5" s="41" t="s">
        <v>107</v>
      </c>
      <c r="C5" s="41" t="s">
        <v>112</v>
      </c>
      <c r="D5" s="28" t="s">
        <v>116</v>
      </c>
      <c r="E5" s="39" t="s">
        <v>117</v>
      </c>
      <c r="F5" s="28"/>
      <c r="G5" s="40" t="s">
        <v>119</v>
      </c>
      <c r="H5" s="41"/>
      <c r="I5" s="28">
        <v>0</v>
      </c>
      <c r="J5" s="28">
        <v>0</v>
      </c>
      <c r="K5" s="40"/>
      <c r="L5" s="40"/>
    </row>
    <row r="6" spans="2:12" x14ac:dyDescent="0.35">
      <c r="B6" s="41" t="s">
        <v>108</v>
      </c>
      <c r="C6" s="41" t="s">
        <v>113</v>
      </c>
      <c r="D6" s="28" t="s">
        <v>116</v>
      </c>
      <c r="E6" s="39" t="s">
        <v>117</v>
      </c>
      <c r="F6" s="28"/>
      <c r="G6" s="40" t="s">
        <v>120</v>
      </c>
      <c r="H6" s="41"/>
      <c r="I6" s="28">
        <v>0</v>
      </c>
      <c r="J6" s="28">
        <v>0</v>
      </c>
      <c r="K6" s="40"/>
      <c r="L6" s="40"/>
    </row>
    <row r="7" spans="2:12" x14ac:dyDescent="0.35">
      <c r="B7" s="41" t="s">
        <v>109</v>
      </c>
      <c r="C7" s="41" t="s">
        <v>114</v>
      </c>
      <c r="D7" s="28" t="s">
        <v>116</v>
      </c>
      <c r="E7" s="39" t="s">
        <v>117</v>
      </c>
      <c r="F7" s="28"/>
      <c r="G7" s="40" t="s">
        <v>121</v>
      </c>
      <c r="H7" s="41"/>
      <c r="I7" s="28">
        <v>0</v>
      </c>
      <c r="J7" s="28">
        <v>0</v>
      </c>
      <c r="K7" s="40"/>
      <c r="L7" s="40"/>
    </row>
    <row r="8" spans="2:12" x14ac:dyDescent="0.35">
      <c r="B8" s="41" t="s">
        <v>110</v>
      </c>
      <c r="C8" s="41" t="s">
        <v>115</v>
      </c>
      <c r="D8" s="28" t="s">
        <v>116</v>
      </c>
      <c r="E8" s="39" t="s">
        <v>117</v>
      </c>
      <c r="F8" s="41"/>
      <c r="G8" s="40" t="s">
        <v>122</v>
      </c>
      <c r="H8" s="41"/>
      <c r="I8" s="28">
        <v>0</v>
      </c>
      <c r="J8" s="28">
        <v>0</v>
      </c>
      <c r="K8" s="40"/>
      <c r="L8" s="40"/>
    </row>
    <row r="9" spans="2:12" x14ac:dyDescent="0.35">
      <c r="B9" s="41"/>
      <c r="C9" s="41"/>
      <c r="D9" s="41"/>
      <c r="E9" s="40"/>
      <c r="F9" s="41"/>
      <c r="G9" s="40"/>
      <c r="H9" s="41"/>
      <c r="I9" s="28">
        <v>0</v>
      </c>
      <c r="J9" s="28">
        <v>0</v>
      </c>
      <c r="K9" s="40"/>
      <c r="L9" s="40"/>
    </row>
    <row r="10" spans="2:12" x14ac:dyDescent="0.35">
      <c r="B10" s="41"/>
      <c r="C10" s="41"/>
      <c r="D10" s="41"/>
      <c r="E10" s="40"/>
      <c r="F10" s="41"/>
      <c r="G10" s="40"/>
      <c r="H10" s="41"/>
      <c r="I10" s="28">
        <v>0</v>
      </c>
      <c r="J10" s="28">
        <v>0</v>
      </c>
      <c r="K10" s="40"/>
      <c r="L10" s="40"/>
    </row>
    <row r="11" spans="2:12" x14ac:dyDescent="0.35">
      <c r="B11" s="41"/>
      <c r="C11" s="41"/>
      <c r="D11" s="41"/>
      <c r="E11" s="40"/>
      <c r="F11" s="41"/>
      <c r="G11" s="40"/>
      <c r="H11" s="41"/>
      <c r="I11" s="28">
        <v>0</v>
      </c>
      <c r="J11" s="28">
        <v>0</v>
      </c>
      <c r="K11" s="40"/>
      <c r="L11" s="40"/>
    </row>
    <row r="12" spans="2:12" x14ac:dyDescent="0.35">
      <c r="B12" s="41"/>
      <c r="C12" s="41"/>
      <c r="D12" s="41"/>
      <c r="E12" s="40"/>
      <c r="F12" s="41"/>
      <c r="G12" s="40"/>
      <c r="H12" s="41"/>
      <c r="I12" s="28">
        <v>0</v>
      </c>
      <c r="J12" s="28">
        <v>0</v>
      </c>
      <c r="K12" s="40"/>
      <c r="L12" s="40"/>
    </row>
    <row r="13" spans="2:12" x14ac:dyDescent="0.35">
      <c r="B13" s="41"/>
      <c r="C13" s="41"/>
      <c r="D13" s="41"/>
      <c r="E13" s="40"/>
      <c r="F13" s="41"/>
      <c r="G13" s="40"/>
      <c r="H13" s="41"/>
      <c r="I13" s="28">
        <v>0</v>
      </c>
      <c r="J13" s="28">
        <v>0</v>
      </c>
      <c r="K13" s="40"/>
      <c r="L13" s="40"/>
    </row>
    <row r="14" spans="2:12" x14ac:dyDescent="0.35">
      <c r="B14" s="41"/>
      <c r="C14" s="41"/>
      <c r="D14" s="41"/>
      <c r="E14" s="40"/>
      <c r="F14" s="41"/>
      <c r="G14" s="40"/>
      <c r="H14" s="41"/>
      <c r="I14" s="28">
        <v>0</v>
      </c>
      <c r="J14" s="28">
        <v>0</v>
      </c>
      <c r="K14" s="40"/>
      <c r="L14" s="40"/>
    </row>
    <row r="15" spans="2:12" x14ac:dyDescent="0.35">
      <c r="B15" s="41"/>
      <c r="C15" s="41"/>
      <c r="D15" s="41"/>
      <c r="E15" s="40"/>
      <c r="F15" s="41"/>
      <c r="G15" s="40"/>
      <c r="H15" s="41"/>
      <c r="I15" s="28">
        <v>0</v>
      </c>
      <c r="J15" s="28">
        <v>0</v>
      </c>
      <c r="K15" s="40"/>
      <c r="L15" s="40"/>
    </row>
    <row r="16" spans="2:12" x14ac:dyDescent="0.35">
      <c r="B16" s="43" t="s">
        <v>6</v>
      </c>
      <c r="C16" s="41"/>
      <c r="D16" s="41"/>
      <c r="E16" s="40"/>
      <c r="F16" s="41"/>
      <c r="G16" s="40"/>
      <c r="H16" s="41"/>
      <c r="I16" s="29">
        <f>SUM(I4:I15)</f>
        <v>0</v>
      </c>
      <c r="J16" s="29">
        <f>SUM(J4:J15)</f>
        <v>0</v>
      </c>
      <c r="K16" s="40"/>
      <c r="L16" s="40"/>
    </row>
    <row r="17" spans="8:8" x14ac:dyDescent="0.35">
      <c r="H17" s="42"/>
    </row>
  </sheetData>
  <pageMargins left="0.7" right="0.7" top="0.75" bottom="0.75" header="0.3" footer="0.3"/>
  <customProperties>
    <customPr name="OrphanNamesChecke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A570789232349809444F071E63E10" ma:contentTypeVersion="13" ma:contentTypeDescription="Create a new document." ma:contentTypeScope="" ma:versionID="8bdadbea19768db2543a23c972a7ab8e">
  <xsd:schema xmlns:xsd="http://www.w3.org/2001/XMLSchema" xmlns:xs="http://www.w3.org/2001/XMLSchema" xmlns:p="http://schemas.microsoft.com/office/2006/metadata/properties" xmlns:ns2="0fb9ec41-813b-423c-b33d-164648586c84" xmlns:ns3="47a41c12-aa28-44d8-a1b4-d1cb81dfd33b" targetNamespace="http://schemas.microsoft.com/office/2006/metadata/properties" ma:root="true" ma:fieldsID="89c8a33acbf0a0da59f275d2b1a65aa3" ns2:_="" ns3:_="">
    <xsd:import namespace="0fb9ec41-813b-423c-b33d-164648586c84"/>
    <xsd:import namespace="47a41c12-aa28-44d8-a1b4-d1cb81dfd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ENT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9ec41-813b-423c-b33d-164648586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be38ff-c36a-46b3-97e8-44d97987dc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ENT_x003f_" ma:index="20" nillable="true" ma:displayName="SENT?" ma:default="1" ma:format="Dropdown" ma:internalName="SENT_x003f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41c12-aa28-44d8-a1b4-d1cb81dfd3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9fc524-f1fd-4c29-9a56-93fe787c1038}" ma:internalName="TaxCatchAll" ma:showField="CatchAllData" ma:web="47a41c12-aa28-44d8-a1b4-d1cb81dfd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a41c12-aa28-44d8-a1b4-d1cb81dfd33b" xsi:nil="true"/>
    <lcf76f155ced4ddcb4097134ff3c332f xmlns="0fb9ec41-813b-423c-b33d-164648586c84">
      <Terms xmlns="http://schemas.microsoft.com/office/infopath/2007/PartnerControls"/>
    </lcf76f155ced4ddcb4097134ff3c332f>
    <SENT_x003f_ xmlns="0fb9ec41-813b-423c-b33d-164648586c84">true</SENT_x003f_>
  </documentManagement>
</p:properties>
</file>

<file path=customXml/itemProps1.xml><?xml version="1.0" encoding="utf-8"?>
<ds:datastoreItem xmlns:ds="http://schemas.openxmlformats.org/officeDocument/2006/customXml" ds:itemID="{7F832162-5919-4D29-800E-5E4263F1D8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9ec41-813b-423c-b33d-164648586c84"/>
    <ds:schemaRef ds:uri="47a41c12-aa28-44d8-a1b4-d1cb81dfd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43632C-A761-45DC-BF04-DBE6C010C9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ED41D-00B6-43BD-BF3C-E5CB749FDE34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47a41c12-aa28-44d8-a1b4-d1cb81dfd33b"/>
    <ds:schemaRef ds:uri="0fb9ec41-813b-423c-b33d-164648586c8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CoverSheet</vt:lpstr>
      <vt:lpstr>TCO Summary</vt:lpstr>
      <vt:lpstr>One-Time Costs</vt:lpstr>
      <vt:lpstr>Recurring Costs</vt:lpstr>
      <vt:lpstr>Modules</vt:lpstr>
      <vt:lpstr>Licensing</vt:lpstr>
      <vt:lpstr>Assumptions</vt:lpstr>
      <vt:lpstr>Optional Services</vt:lpstr>
      <vt:lpstr>RICEFs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Lorissaint, James</cp:lastModifiedBy>
  <dcterms:created xsi:type="dcterms:W3CDTF">2026-04-08T21:39:08Z</dcterms:created>
  <dcterms:modified xsi:type="dcterms:W3CDTF">2026-04-23T17:19:24Z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0x010100255A570789232349809444F071E63E10</vt:lpwstr>
  </property>
  <property fmtid="{D5CDD505-2E9C-101B-9397-08002B2CF9AE}" pid="3" name="MediaServiceImageTags">
    <vt:lpwstr/>
  </property>
</Properties>
</file>